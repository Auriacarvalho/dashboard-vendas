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120" yWindow="-120" windowWidth="19440" windowHeight="11040" activeTab="3"/>
  </bookViews>
  <sheets>
    <sheet name="A̳ssets" sheetId="1" r:id="rId1"/>
    <sheet name="B̳ases" sheetId="2" r:id="rId2"/>
    <sheet name="C̳álculos" sheetId="6" r:id="rId3"/>
    <sheet name="D̳ashboard" sheetId="4" r:id="rId4"/>
  </sheets>
  <definedNames>
    <definedName name="SegmentaçãodeDados_Subscription_Type">#N/A</definedName>
  </definedNames>
  <calcPr calcId="145621"/>
  <pivotCaches>
    <pivotCache cacheId="14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29" i="6" l="1"/>
  <c r="E22" i="6"/>
</calcChain>
</file>

<file path=xl/sharedStrings.xml><?xml version="1.0" encoding="utf-8"?>
<sst xmlns="http://schemas.openxmlformats.org/spreadsheetml/2006/main" count="2012" uniqueCount="320">
  <si>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</si>
  <si>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</si>
  <si>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</si>
  <si>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</si>
  <si>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</si>
  <si>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</si>
  <si>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</si>
  <si>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</si>
  <si>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</si>
  <si>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</si>
  <si>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</si>
  <si>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</si>
  <si>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</si>
  <si>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</si>
  <si>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</si>
  <si>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</si>
  <si>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</si>
  <si>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</si>
  <si>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</si>
  <si>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</si>
  <si>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</si>
  <si>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</si>
  <si>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</si>
  <si>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</si>
  <si>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</si>
  <si>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</si>
  <si>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</si>
  <si>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</si>
  <si>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</si>
  <si>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</si>
  <si>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</si>
  <si>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</si>
  <si>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</si>
  <si>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</si>
  <si>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</si>
  <si>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</si>
  <si>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</si>
  <si>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</si>
  <si>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</si>
  <si>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</si>
  <si>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</si>
  <si>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</si>
  <si>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</si>
  <si>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</si>
  <si>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</si>
  <si>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</si>
  <si>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</si>
  <si>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</si>
  <si>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</si>
  <si>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</si>
  <si>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</si>
  <si>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</si>
  <si>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</si>
  <si>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</si>
  <si>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</si>
  <si>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</si>
  <si>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</si>
  <si>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</si>
  <si>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</si>
  <si>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</si>
  <si>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</si>
  <si>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</si>
  <si>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</si>
  <si>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</si>
  <si>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</si>
  <si>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</si>
  <si>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</si>
  <si>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</si>
  <si>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</si>
  <si>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</si>
  <si>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</si>
  <si>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</si>
  <si>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</si>
  <si>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</si>
  <si>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</si>
  <si>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</si>
  <si>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</si>
  <si>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</si>
  <si>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</si>
  <si>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</si>
  <si>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</si>
  <si>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</si>
  <si>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</si>
  <si>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</si>
  <si>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</si>
  <si>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</si>
  <si>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</si>
  <si>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</si>
  <si>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</si>
  <si>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</si>
  <si>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</si>
  <si>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</si>
  <si>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</si>
  <si>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</si>
  <si>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</si>
  <si>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</si>
  <si>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</si>
  <si>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</si>
  <si>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</si>
  <si>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</si>
  <si>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</si>
  <si>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</si>
  <si>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</si>
  <si>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</si>
  <si>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</si>
  <si>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</si>
  <si>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</si>
  <si>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</si>
  <si>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</si>
  <si>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</si>
  <si>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</si>
  <si>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</si>
  <si>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</si>
  <si>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</si>
  <si>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</si>
  <si>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</si>
  <si>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</si>
  <si>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</si>
  <si>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</si>
  <si>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</si>
  <si>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</si>
  <si>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</si>
  <si>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</si>
  <si>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</si>
  <si>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</si>
  <si>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</si>
  <si>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</si>
  <si>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</si>
  <si>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</si>
  <si>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</si>
  <si>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</si>
  <si>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</si>
  <si>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</si>
  <si>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</si>
  <si>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</si>
  <si>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</si>
  <si>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</si>
  <si>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</si>
  <si>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</si>
  <si>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</si>
  <si>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</si>
  <si>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</si>
  <si>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</si>
  <si>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</si>
  <si>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</si>
  <si>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</si>
  <si>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</si>
  <si>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</si>
  <si>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</si>
  <si>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</si>
  <si>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</si>
  <si>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</si>
  <si>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</si>
  <si>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</si>
  <si>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</si>
  <si>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</si>
  <si>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</si>
  <si>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</si>
  <si>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</si>
  <si>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</si>
  <si>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</si>
  <si>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</si>
  <si>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</si>
  <si>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</si>
  <si>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</si>
  <si>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</si>
  <si>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</si>
  <si>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</si>
  <si>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</si>
  <si>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</si>
  <si>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</si>
  <si>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</si>
  <si>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</si>
  <si>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</si>
  <si>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</si>
  <si>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</si>
  <si>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</si>
  <si>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</si>
  <si>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</si>
  <si>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</si>
  <si>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</si>
  <si>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</si>
  <si>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</si>
  <si>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</si>
  <si>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</si>
  <si>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</si>
  <si>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</si>
  <si>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</si>
  <si>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</si>
  <si>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</si>
  <si>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</si>
  <si>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</si>
  <si>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</si>
  <si>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</si>
  <si>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</si>
  <si>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</si>
  <si>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</si>
  <si>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</si>
  <si>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</si>
  <si>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</si>
  <si>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</si>
  <si>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</si>
  <si>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</si>
  <si>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</si>
  <si>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</si>
  <si>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</si>
  <si>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</si>
  <si>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</si>
  <si>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</si>
  <si>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</si>
  <si>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</si>
  <si>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</si>
  <si>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</si>
  <si>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</si>
  <si>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</si>
  <si>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</si>
  <si>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</si>
  <si>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</si>
  <si>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</si>
  <si>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</si>
  <si>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</si>
  <si>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</si>
  <si>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</si>
  <si>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</si>
  <si>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</si>
  <si>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</si>
  <si>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</si>
  <si>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</si>
  <si>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</si>
  <si>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</si>
  <si>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</si>
  <si>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</si>
  <si>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</si>
  <si>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</si>
  <si>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</si>
  <si>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</si>
  <si>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</si>
  <si>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</si>
  <si>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</si>
  <si>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</si>
  <si>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</si>
  <si>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</si>
  <si>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</si>
  <si>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</si>
  <si>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</si>
  <si>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</si>
  <si>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</si>
  <si>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</si>
  <si>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</si>
  <si>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</si>
  <si>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</si>
  <si>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</si>
  <si>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</si>
  <si>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</si>
  <si>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</si>
  <si>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</si>
  <si>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</si>
  <si>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</si>
  <si>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</si>
  <si>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</si>
  <si>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</si>
  <si>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</si>
  <si>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</si>
  <si>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</si>
  <si>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</si>
  <si>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</si>
  <si>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</si>
  <si>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</si>
  <si>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</si>
  <si>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</si>
  <si>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</si>
  <si>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</si>
  <si>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</si>
  <si>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</si>
  <si>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</si>
  <si>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</si>
  <si>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</si>
  <si>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</si>
  <si>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</si>
  <si>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</si>
  <si>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</si>
  <si>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</si>
  <si>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</si>
  <si>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</si>
  <si>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</si>
  <si>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</si>
  <si>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</si>
  <si>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</si>
  <si>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</si>
  <si>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</si>
  <si>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</si>
  <si>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</si>
  <si>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</si>
  <si>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</si>
  <si>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</si>
  <si>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</si>
  <si>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</si>
  <si>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</si>
  <si>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</si>
  <si>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</si>
  <si>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</si>
  <si>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</si>
  <si>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</si>
  <si>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</si>
  <si>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</si>
  <si>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</si>
  <si>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</si>
  <si>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</si>
  <si>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</si>
  <si>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</si>
  <si>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</si>
  <si>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</si>
  <si>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</si>
  <si>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</si>
  <si>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</si>
  <si>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Xbox Game Pass Subscription Sales</t>
  </si>
  <si>
    <t>Soma de EA Play Season Pass</t>
  </si>
  <si>
    <t>Soma de Minecraft Season Pass Price</t>
  </si>
  <si>
    <t>TOTAL  SUBSCRITP EAPASS SEASSON PASS</t>
  </si>
  <si>
    <t>TOTAL  SUBSCRITP  MINECRAFT SEASSON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</si>
</sst>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66F08A"/>
      <name val="Aptos Narrow"/>
      <family val="2"/>
      <scheme val="minor"/>
    </font>
    <font>
      <sz val="18"/>
      <color rgb="FF66F08A"/>
      <name val="Aptos Narrow"/>
      <family val="2"/>
      <scheme val="minor"/>
    </font>
    <font>
      <b/>
      <sz val="14"/>
      <color theme="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66F08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1DFA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66F08A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8" borderId="0" xfId="0" applyFill="1"/>
    <xf numFmtId="0" fontId="0" fillId="9" borderId="0" xfId="0" applyFill="1"/>
    <xf numFmtId="0" fontId="4" fillId="0" borderId="2" xfId="1" applyFont="1" applyBorder="1"/>
    <xf numFmtId="0" fontId="5" fillId="0" borderId="2" xfId="0" applyFont="1" applyBorder="1"/>
    <xf numFmtId="0" fontId="0" fillId="8" borderId="0" xfId="0" applyFill="1" applyAlignment="1">
      <alignment horizontal="left"/>
    </xf>
    <xf numFmtId="164" fontId="3" fillId="10" borderId="3" xfId="0" applyNumberFormat="1" applyFont="1" applyFill="1" applyBorder="1"/>
    <xf numFmtId="0" fontId="0" fillId="11" borderId="0" xfId="0" applyFill="1"/>
    <xf numFmtId="44" fontId="0" fillId="0" borderId="0" xfId="2" applyFont="1"/>
    <xf numFmtId="0" fontId="0" fillId="12" borderId="0" xfId="0" applyFill="1"/>
    <xf numFmtId="0" fontId="6" fillId="12" borderId="0" xfId="0" applyFont="1" applyFill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5">
    <dxf>
      <font>
        <sz val="11"/>
      </font>
      <fill>
        <patternFill patternType="solid">
          <fgColor rgb="FF5BF6A8"/>
          <bgColor rgb="FF2DF3C4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">
      <tableStyleElement type="wholeTable" dxfId="0"/>
    </tableStyle>
  </tableStyles>
  <colors>
    <mruColors>
      <color rgb="FF2DF3C4"/>
      <color rgb="FF66F08A"/>
      <color rgb="FF41DFAA"/>
      <color rgb="FF47D98D"/>
      <color rgb="FF4DD393"/>
      <color rgb="FF2AE6B1"/>
      <color rgb="FF5BF6A8"/>
      <color rgb="FF2EF2B5"/>
      <color rgb="FF25FBD2"/>
      <color rgb="FF3CE4B0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3"/>
              <c:pt idx="0">
                <c:v>No No</c:v>
              </c:pt>
              <c:pt idx="1">
                <c:v>No Yes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120</c:v>
              </c:pt>
              <c:pt idx="1">
                <c:v>448</c:v>
              </c:pt>
              <c:pt idx="2">
                <c:v>1186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11904"/>
        <c:axId val="177632768"/>
      </c:barChart>
      <c:catAx>
        <c:axId val="177611904"/>
        <c:scaling>
          <c:orientation val="minMax"/>
        </c:scaling>
        <c:delete val="1"/>
        <c:axPos val="l"/>
        <c:majorTickMark val="out"/>
        <c:minorTickMark val="none"/>
        <c:tickLblPos val="nextTo"/>
        <c:crossAx val="177632768"/>
        <c:crosses val="autoZero"/>
        <c:auto val="1"/>
        <c:lblAlgn val="ctr"/>
        <c:lblOffset val="100"/>
        <c:noMultiLvlLbl val="0"/>
      </c:catAx>
      <c:valAx>
        <c:axId val="177632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611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1261981</xdr:colOff>
      <xdr:row>10</xdr:row>
      <xdr:rowOff>17288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61981" cy="1646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178592</xdr:colOff>
      <xdr:row>4</xdr:row>
      <xdr:rowOff>23816</xdr:rowOff>
    </xdr:from>
    <xdr:to>
      <xdr:col>7</xdr:col>
      <xdr:colOff>559594</xdr:colOff>
      <xdr:row>8</xdr:row>
      <xdr:rowOff>11906</xdr:rowOff>
    </xdr:to>
    <xdr:sp macro="" textlink="C̳álculos!E22">
      <xdr:nvSpPr>
        <xdr:cNvPr id="15" name="Retângulo 14"/>
        <xdr:cNvSpPr/>
      </xdr:nvSpPr>
      <xdr:spPr>
        <a:xfrm>
          <a:off x="1488280" y="904879"/>
          <a:ext cx="4226720" cy="72627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AD19E686-C46E-44D4-9277-B1472D710A18}" type="TxLink">
            <a:rPr lang="en-US" sz="3200" b="1" i="0" u="none" strike="noStrike">
              <a:solidFill>
                <a:srgbClr val="000000"/>
              </a:solidFill>
              <a:latin typeface="Aptos Narrow"/>
              <a:cs typeface="Arial" panose="020B0604020202020204" pitchFamily="34" charset="0"/>
            </a:rPr>
            <a:t> R$ 1.350,00 </a:t>
          </a:fld>
          <a:endParaRPr lang="pt-BR" sz="3200">
            <a:solidFill>
              <a:srgbClr val="2AE6B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678656</xdr:colOff>
      <xdr:row>0</xdr:row>
      <xdr:rowOff>0</xdr:rowOff>
    </xdr:from>
    <xdr:to>
      <xdr:col>0</xdr:col>
      <xdr:colOff>1571625</xdr:colOff>
      <xdr:row>3</xdr:row>
      <xdr:rowOff>273843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2673" b="6014"/>
        <a:stretch/>
      </xdr:blipFill>
      <xdr:spPr>
        <a:xfrm>
          <a:off x="678656" y="0"/>
          <a:ext cx="892969" cy="916781"/>
        </a:xfrm>
        <a:prstGeom prst="rect">
          <a:avLst/>
        </a:prstGeom>
      </xdr:spPr>
    </xdr:pic>
    <xdr:clientData/>
  </xdr:twoCellAnchor>
  <xdr:twoCellAnchor editAs="absolute">
    <xdr:from>
      <xdr:col>0</xdr:col>
      <xdr:colOff>154781</xdr:colOff>
      <xdr:row>8</xdr:row>
      <xdr:rowOff>23812</xdr:rowOff>
    </xdr:from>
    <xdr:to>
      <xdr:col>0</xdr:col>
      <xdr:colOff>1414781</xdr:colOff>
      <xdr:row>17</xdr:row>
      <xdr:rowOff>59531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" y="1750218"/>
              <a:ext cx="1260000" cy="1643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>
    <xdr:from>
      <xdr:col>1</xdr:col>
      <xdr:colOff>35717</xdr:colOff>
      <xdr:row>11</xdr:row>
      <xdr:rowOff>23812</xdr:rowOff>
    </xdr:from>
    <xdr:to>
      <xdr:col>17</xdr:col>
      <xdr:colOff>273844</xdr:colOff>
      <xdr:row>30</xdr:row>
      <xdr:rowOff>71436</xdr:rowOff>
    </xdr:to>
    <xdr:sp macro="" textlink="">
      <xdr:nvSpPr>
        <xdr:cNvPr id="12" name="Retângulo de cantos arredondados 11"/>
        <xdr:cNvSpPr/>
      </xdr:nvSpPr>
      <xdr:spPr>
        <a:xfrm>
          <a:off x="1666873" y="2286000"/>
          <a:ext cx="10382252" cy="3440905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130970</xdr:colOff>
      <xdr:row>3</xdr:row>
      <xdr:rowOff>183358</xdr:rowOff>
    </xdr:from>
    <xdr:to>
      <xdr:col>4</xdr:col>
      <xdr:colOff>23812</xdr:colOff>
      <xdr:row>9</xdr:row>
      <xdr:rowOff>73821</xdr:rowOff>
    </xdr:to>
    <xdr:pic>
      <xdr:nvPicPr>
        <xdr:cNvPr id="19" name="Imagem 18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658" y="826296"/>
          <a:ext cx="1440655" cy="1152525"/>
        </a:xfrm>
        <a:prstGeom prst="rect">
          <a:avLst/>
        </a:prstGeom>
      </xdr:spPr>
    </xdr:pic>
    <xdr:clientData/>
  </xdr:twoCellAnchor>
  <xdr:twoCellAnchor>
    <xdr:from>
      <xdr:col>9</xdr:col>
      <xdr:colOff>397668</xdr:colOff>
      <xdr:row>4</xdr:row>
      <xdr:rowOff>0</xdr:rowOff>
    </xdr:from>
    <xdr:to>
      <xdr:col>17</xdr:col>
      <xdr:colOff>23813</xdr:colOff>
      <xdr:row>7</xdr:row>
      <xdr:rowOff>166684</xdr:rowOff>
    </xdr:to>
    <xdr:sp macro="" textlink="C̳álculos!E29">
      <xdr:nvSpPr>
        <xdr:cNvPr id="31" name="Retângulo 30"/>
        <xdr:cNvSpPr/>
      </xdr:nvSpPr>
      <xdr:spPr>
        <a:xfrm>
          <a:off x="6934199" y="988219"/>
          <a:ext cx="4864895" cy="7262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A86337F4-90C2-4E87-B8EE-A572CCE5DA17}" type="TxLink">
            <a:rPr lang="en-US" sz="3200" b="1" i="0" u="none" strike="noStrike">
              <a:solidFill>
                <a:srgbClr val="000000"/>
              </a:solidFill>
              <a:latin typeface="Aptos Narrow"/>
              <a:cs typeface="Arial" panose="020B0604020202020204" pitchFamily="34" charset="0"/>
            </a:rPr>
            <a:t> R$ 1.800,00 </a:t>
          </a:fld>
          <a:endParaRPr lang="pt-BR" sz="3200" b="1">
            <a:solidFill>
              <a:srgbClr val="2AE6B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250032</xdr:colOff>
      <xdr:row>4</xdr:row>
      <xdr:rowOff>142877</xdr:rowOff>
    </xdr:from>
    <xdr:to>
      <xdr:col>12</xdr:col>
      <xdr:colOff>596907</xdr:colOff>
      <xdr:row>7</xdr:row>
      <xdr:rowOff>87283</xdr:rowOff>
    </xdr:to>
    <xdr:grpSp>
      <xdr:nvGrpSpPr>
        <xdr:cNvPr id="22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7191376" y="1131096"/>
          <a:ext cx="1728000" cy="504000"/>
          <a:chOff x="3495675" y="5400674"/>
          <a:chExt cx="1549476" cy="752476"/>
        </a:xfrm>
      </xdr:grpSpPr>
      <xdr:pic>
        <xdr:nvPicPr>
          <xdr:cNvPr id="23" name="Imagem 22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95250</xdr:colOff>
      <xdr:row>0</xdr:row>
      <xdr:rowOff>95251</xdr:rowOff>
    </xdr:from>
    <xdr:to>
      <xdr:col>0</xdr:col>
      <xdr:colOff>863413</xdr:colOff>
      <xdr:row>3</xdr:row>
      <xdr:rowOff>110738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" y="95251"/>
          <a:ext cx="768163" cy="658425"/>
        </a:xfrm>
        <a:prstGeom prst="rect">
          <a:avLst/>
        </a:prstGeom>
      </xdr:spPr>
    </xdr:pic>
    <xdr:clientData/>
  </xdr:twoCellAnchor>
  <xdr:twoCellAnchor>
    <xdr:from>
      <xdr:col>0</xdr:col>
      <xdr:colOff>226219</xdr:colOff>
      <xdr:row>4</xdr:row>
      <xdr:rowOff>59531</xdr:rowOff>
    </xdr:from>
    <xdr:to>
      <xdr:col>0</xdr:col>
      <xdr:colOff>1476375</xdr:colOff>
      <xdr:row>6</xdr:row>
      <xdr:rowOff>35719</xdr:rowOff>
    </xdr:to>
    <xdr:sp macro="" textlink="">
      <xdr:nvSpPr>
        <xdr:cNvPr id="36" name="CaixaDeTexto 35"/>
        <xdr:cNvSpPr txBox="1"/>
      </xdr:nvSpPr>
      <xdr:spPr>
        <a:xfrm>
          <a:off x="226219" y="1047750"/>
          <a:ext cx="1250156" cy="3571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/>
            <a:t>BEM VINDA!</a:t>
          </a:r>
        </a:p>
      </xdr:txBody>
    </xdr:sp>
    <xdr:clientData/>
  </xdr:twoCellAnchor>
  <xdr:twoCellAnchor>
    <xdr:from>
      <xdr:col>1</xdr:col>
      <xdr:colOff>130967</xdr:colOff>
      <xdr:row>11</xdr:row>
      <xdr:rowOff>59532</xdr:rowOff>
    </xdr:from>
    <xdr:to>
      <xdr:col>16</xdr:col>
      <xdr:colOff>583406</xdr:colOff>
      <xdr:row>30</xdr:row>
      <xdr:rowOff>47625</xdr:rowOff>
    </xdr:to>
    <xdr:graphicFrame macro="">
      <xdr:nvGraphicFramePr>
        <xdr:cNvPr id="38" name="Gráfico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ria" refreshedDate="46024.861343634257" createdVersion="4" refreshedVersion="4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4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25:B29" firstHeaderRow="1" firstDataRow="1" firstDataCol="1" rowPageCount="1" colPageCount="1"/>
  <pivotFields count="13">
    <pivotField showAll="0"/>
    <pivotField showAll="0"/>
    <pivotField axis="axisRow" showAll="0" sortType="ascending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 EA PLAY" cacheId="14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7">
  <location ref="A18:B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6" name="Tbl EA PLAY"/>
  </pivotTables>
  <data>
    <tabular pivotCacheId="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Estilo de Segmentação de Dados 1" rowHeight="180000"/>
</slicers>
</file>

<file path=xl/tables/table1.xml><?xml version="1.0" encoding="utf-8"?>
<table xmlns="http://schemas.openxmlformats.org/spreadsheetml/2006/main" id="1" name="Tabela1" displayName="Tabela1" ref="A1:M296" totalsRowShown="0" dataDxfId="14">
  <tableColumns count="13">
    <tableColumn id="1" name="Subscriber ID" dataDxfId="13"/>
    <tableColumn id="2" name="Name" dataDxfId="12"/>
    <tableColumn id="3" name="Plan" dataDxfId="11"/>
    <tableColumn id="4" name="Start Date" dataDxfId="10"/>
    <tableColumn id="5" name="Auto Renewal" dataDxfId="9"/>
    <tableColumn id="6" name="Subscription Price" dataDxfId="8" dataCellStyle="Moeda"/>
    <tableColumn id="7" name="Subscription Type" dataDxfId="7"/>
    <tableColumn id="8" name="EA Play Season Pass" dataDxfId="6"/>
    <tableColumn id="13" name="EA Play Season Pass_x000a_Price" dataDxfId="5" dataCellStyle="Moeda"/>
    <tableColumn id="9" name="Minecraft Season Pass" dataDxfId="4"/>
    <tableColumn id="10" name="Minecraft Season Pass Price" dataDxfId="3" dataCellStyle="Moeda"/>
    <tableColumn id="11" name="Coupon Value" dataDxfId="2" dataCellStyle="Moeda"/>
    <tableColumn id="12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B8" sqref="B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G297" sqref="G29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customWidth="1"/>
    <col min="13" max="13" width="17.125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6:E29"/>
  <sheetViews>
    <sheetView topLeftCell="A10" workbookViewId="0">
      <selection activeCell="B11" sqref="B11"/>
    </sheetView>
  </sheetViews>
  <sheetFormatPr defaultRowHeight="14.25"/>
  <cols>
    <col min="1" max="1" width="18" customWidth="1"/>
    <col min="2" max="2" width="27.875" customWidth="1"/>
    <col min="5" max="5" width="12" bestFit="1" customWidth="1"/>
  </cols>
  <sheetData>
    <row r="16" spans="1:2">
      <c r="A16" s="12" t="s">
        <v>16</v>
      </c>
      <c r="B16" t="s">
        <v>20</v>
      </c>
    </row>
    <row r="18" spans="1:5">
      <c r="A18" s="12" t="s">
        <v>314</v>
      </c>
      <c r="B18" t="s">
        <v>316</v>
      </c>
    </row>
    <row r="19" spans="1:5">
      <c r="A19" s="14" t="s">
        <v>26</v>
      </c>
      <c r="B19" s="13">
        <v>0</v>
      </c>
    </row>
    <row r="20" spans="1:5">
      <c r="A20" s="14" t="s">
        <v>22</v>
      </c>
      <c r="B20" s="13">
        <v>0</v>
      </c>
    </row>
    <row r="21" spans="1:5">
      <c r="A21" s="14" t="s">
        <v>18</v>
      </c>
      <c r="B21" s="13">
        <v>1350</v>
      </c>
    </row>
    <row r="22" spans="1:5" ht="15">
      <c r="A22" s="14" t="s">
        <v>313</v>
      </c>
      <c r="B22" s="13">
        <v>1350</v>
      </c>
      <c r="E22" s="20">
        <f>GETPIVOTDATA("EA Play Season Pass
Price",C̳álculos!$A$18)</f>
        <v>1350</v>
      </c>
    </row>
    <row r="23" spans="1:5">
      <c r="A23" s="12" t="s">
        <v>16</v>
      </c>
      <c r="B23" t="s">
        <v>20</v>
      </c>
    </row>
    <row r="25" spans="1:5">
      <c r="A25" s="12" t="s">
        <v>314</v>
      </c>
      <c r="B25" t="s">
        <v>317</v>
      </c>
    </row>
    <row r="26" spans="1:5">
      <c r="A26" s="14" t="s">
        <v>22</v>
      </c>
      <c r="B26" s="13">
        <v>0</v>
      </c>
    </row>
    <row r="27" spans="1:5">
      <c r="A27" s="14" t="s">
        <v>26</v>
      </c>
      <c r="B27" s="13">
        <v>900</v>
      </c>
    </row>
    <row r="28" spans="1:5">
      <c r="A28" s="14" t="s">
        <v>18</v>
      </c>
      <c r="B28" s="13">
        <v>900</v>
      </c>
    </row>
    <row r="29" spans="1:5">
      <c r="A29" s="14" t="s">
        <v>313</v>
      </c>
      <c r="B29" s="13">
        <v>1800</v>
      </c>
      <c r="E29" s="22">
        <f>GETPIVOTDATA("Minecraft Season Pass Price",C̳álculos!$A$25)</f>
        <v>1800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showGridLines="0" tabSelected="1" zoomScale="80" zoomScaleNormal="80" workbookViewId="0">
      <selection activeCell="F4" sqref="F4"/>
    </sheetView>
  </sheetViews>
  <sheetFormatPr defaultRowHeight="14.25"/>
  <cols>
    <col min="1" max="1" width="21.375" customWidth="1"/>
    <col min="2" max="2" width="2.125" customWidth="1"/>
    <col min="8" max="8" width="7.75" customWidth="1"/>
    <col min="10" max="10" width="5.25" customWidth="1"/>
  </cols>
  <sheetData>
    <row r="1" spans="1:18">
      <c r="A1" s="15"/>
    </row>
    <row r="2" spans="1:18" ht="26.25" customHeight="1">
      <c r="A2" s="15"/>
      <c r="B2" s="17" t="s">
        <v>315</v>
      </c>
      <c r="C2" s="17"/>
      <c r="D2" s="17"/>
      <c r="E2" s="17"/>
      <c r="F2" s="18"/>
    </row>
    <row r="3" spans="1:18" ht="10.5" customHeight="1">
      <c r="A3" s="15"/>
    </row>
    <row r="4" spans="1:18" ht="27" customHeight="1">
      <c r="A4" s="15"/>
      <c r="B4" s="16"/>
      <c r="C4" s="24" t="s">
        <v>318</v>
      </c>
      <c r="D4" s="24"/>
      <c r="E4" s="24"/>
      <c r="F4" s="24"/>
      <c r="G4" s="24"/>
      <c r="H4" s="24"/>
      <c r="I4" s="16"/>
      <c r="J4" s="16"/>
      <c r="K4" s="24" t="s">
        <v>319</v>
      </c>
      <c r="L4" s="24"/>
      <c r="M4" s="24"/>
      <c r="N4" s="24"/>
      <c r="O4" s="24"/>
      <c r="P4" s="24"/>
      <c r="Q4" s="23"/>
      <c r="R4" s="21"/>
    </row>
    <row r="5" spans="1:18" ht="16.5" customHeight="1">
      <c r="A5" s="19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1"/>
      <c r="O5" s="21"/>
      <c r="P5" s="21"/>
      <c r="Q5" s="21"/>
      <c r="R5" s="21"/>
    </row>
    <row r="6" spans="1:18" ht="13.5" customHeight="1">
      <c r="A6" s="19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21"/>
      <c r="O6" s="21"/>
      <c r="P6" s="21"/>
      <c r="Q6" s="21"/>
      <c r="R6" s="21"/>
    </row>
    <row r="7" spans="1:18" ht="14.25" customHeight="1">
      <c r="A7" s="19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21"/>
      <c r="O7" s="21"/>
      <c r="P7" s="21"/>
      <c r="Q7" s="21"/>
      <c r="R7" s="21"/>
    </row>
    <row r="8" spans="1:18">
      <c r="A8" s="19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21"/>
      <c r="O8" s="21"/>
      <c r="P8" s="21"/>
      <c r="Q8" s="21"/>
      <c r="R8" s="21"/>
    </row>
    <row r="9" spans="1:18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21"/>
      <c r="O9" s="21"/>
      <c r="P9" s="21"/>
      <c r="Q9" s="21"/>
      <c r="R9" s="21"/>
    </row>
    <row r="10" spans="1:18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21"/>
      <c r="O10" s="21"/>
      <c r="P10" s="21"/>
      <c r="Q10" s="21"/>
      <c r="R10" s="21"/>
    </row>
    <row r="11" spans="1:18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1"/>
      <c r="O11" s="21"/>
      <c r="P11" s="21"/>
      <c r="Q11" s="21"/>
      <c r="R11" s="21"/>
    </row>
    <row r="12" spans="1:18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21"/>
      <c r="O12" s="21"/>
      <c r="P12" s="21"/>
      <c r="Q12" s="21"/>
      <c r="R12" s="21"/>
    </row>
    <row r="13" spans="1:18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21"/>
      <c r="O13" s="21"/>
      <c r="P13" s="21"/>
      <c r="Q13" s="21"/>
      <c r="R13" s="21"/>
    </row>
    <row r="14" spans="1:18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21"/>
      <c r="O14" s="21"/>
      <c r="P14" s="21"/>
      <c r="Q14" s="21"/>
      <c r="R14" s="21"/>
    </row>
    <row r="15" spans="1:18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21"/>
      <c r="O15" s="21"/>
      <c r="P15" s="21"/>
      <c r="Q15" s="21"/>
      <c r="R15" s="21"/>
    </row>
    <row r="16" spans="1:18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1"/>
      <c r="O16" s="21"/>
      <c r="P16" s="21"/>
      <c r="Q16" s="21"/>
      <c r="R16" s="21"/>
    </row>
    <row r="17" spans="1:18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21"/>
      <c r="O17" s="21"/>
      <c r="P17" s="21"/>
      <c r="Q17" s="21"/>
      <c r="R17" s="21"/>
    </row>
    <row r="18" spans="1:18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21"/>
      <c r="O18" s="21"/>
      <c r="P18" s="21"/>
      <c r="Q18" s="21"/>
      <c r="R18" s="21"/>
    </row>
    <row r="19" spans="1:18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21"/>
      <c r="O19" s="21"/>
      <c r="P19" s="21"/>
      <c r="Q19" s="21"/>
      <c r="R19" s="21"/>
    </row>
    <row r="20" spans="1:18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21"/>
      <c r="O20" s="21"/>
      <c r="P20" s="21"/>
      <c r="Q20" s="21"/>
      <c r="R20" s="21"/>
    </row>
    <row r="21" spans="1:18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21"/>
      <c r="O21" s="21"/>
      <c r="P21" s="21"/>
      <c r="Q21" s="21"/>
      <c r="R21" s="21"/>
    </row>
    <row r="22" spans="1:18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21"/>
      <c r="O22" s="21"/>
      <c r="P22" s="21"/>
      <c r="Q22" s="21"/>
      <c r="R22" s="21"/>
    </row>
    <row r="23" spans="1:18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21"/>
      <c r="O23" s="21"/>
      <c r="P23" s="21"/>
      <c r="Q23" s="21"/>
      <c r="R23" s="21"/>
    </row>
    <row r="24" spans="1:18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1"/>
      <c r="O24" s="21"/>
      <c r="P24" s="21"/>
      <c r="Q24" s="21"/>
      <c r="R24" s="21"/>
    </row>
    <row r="25" spans="1:18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21"/>
      <c r="O25" s="21"/>
      <c r="P25" s="21"/>
      <c r="Q25" s="21"/>
      <c r="R25" s="21"/>
    </row>
    <row r="26" spans="1:18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1"/>
      <c r="O26" s="21"/>
      <c r="P26" s="21"/>
      <c r="Q26" s="21"/>
      <c r="R26" s="21"/>
    </row>
    <row r="27" spans="1:18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1"/>
      <c r="O27" s="21"/>
      <c r="P27" s="21"/>
      <c r="Q27" s="21"/>
      <c r="R27" s="21"/>
    </row>
    <row r="28" spans="1:18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21"/>
      <c r="O28" s="21"/>
      <c r="P28" s="21"/>
      <c r="Q28" s="21"/>
      <c r="R28" s="21"/>
    </row>
    <row r="29" spans="1:18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1"/>
      <c r="O29" s="21"/>
      <c r="P29" s="21"/>
      <c r="Q29" s="21"/>
      <c r="R29" s="21"/>
    </row>
    <row r="30" spans="1:18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21"/>
      <c r="O30" s="21"/>
      <c r="P30" s="21"/>
      <c r="Q30" s="21"/>
      <c r="R30" s="21"/>
    </row>
    <row r="31" spans="1:18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21"/>
      <c r="O31" s="21"/>
      <c r="P31" s="21"/>
      <c r="Q31" s="21"/>
      <c r="R31" s="21"/>
    </row>
    <row r="32" spans="1:18">
      <c r="A32" s="15"/>
    </row>
    <row r="33" spans="1:1">
      <c r="A33" s="15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Auria</cp:lastModifiedBy>
  <dcterms:created xsi:type="dcterms:W3CDTF">2024-12-19T13:13:10Z</dcterms:created>
  <dcterms:modified xsi:type="dcterms:W3CDTF">2026-01-05T20:11:44Z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